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ur.Balon\Documents\Visual Studio 2013\Projects\AssecoTools\"/>
    </mc:Choice>
  </mc:AlternateContent>
  <bookViews>
    <workbookView xWindow="0" yWindow="0" windowWidth="28800" windowHeight="12585" activeTab="1"/>
  </bookViews>
  <sheets>
    <sheet name="Arkusz1" sheetId="1" r:id="rId1"/>
    <sheet name="Arkusz2" sheetId="2" r:id="rId2"/>
    <sheet name="Arkusz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2" l="1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35" i="2"/>
  <c r="F35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C56" i="2"/>
  <c r="C57" i="2"/>
  <c r="C58" i="2"/>
  <c r="C59" i="2"/>
  <c r="C60" i="2"/>
  <c r="C61" i="2"/>
  <c r="C62" i="2"/>
  <c r="C63" i="2"/>
  <c r="C64" i="2"/>
  <c r="C31" i="2"/>
  <c r="D31" i="2" s="1"/>
  <c r="C32" i="2"/>
  <c r="D32" i="2" s="1"/>
  <c r="C33" i="2"/>
  <c r="D33" i="2" s="1"/>
  <c r="C34" i="2"/>
  <c r="D34" i="2" s="1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2" i="1" l="1"/>
  <c r="D2" i="1" s="1"/>
  <c r="C26" i="1"/>
  <c r="D26" i="1" s="1"/>
  <c r="C22" i="1"/>
  <c r="D22" i="1" s="1"/>
  <c r="C18" i="1"/>
  <c r="D18" i="1" s="1"/>
  <c r="C14" i="1"/>
  <c r="D14" i="1" s="1"/>
  <c r="C10" i="1"/>
  <c r="D10" i="1" s="1"/>
  <c r="C6" i="1"/>
  <c r="D6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2" i="2"/>
  <c r="D2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7" i="1"/>
  <c r="D7" i="1" s="1"/>
  <c r="C8" i="1"/>
  <c r="D8" i="1" s="1"/>
  <c r="C9" i="1"/>
  <c r="D9" i="1" s="1"/>
  <c r="C11" i="1"/>
  <c r="D11" i="1" s="1"/>
  <c r="C12" i="1"/>
  <c r="D12" i="1" s="1"/>
  <c r="C13" i="1"/>
  <c r="D13" i="1" s="1"/>
  <c r="C15" i="1"/>
  <c r="D15" i="1" s="1"/>
  <c r="C16" i="1"/>
  <c r="D16" i="1" s="1"/>
  <c r="C17" i="1"/>
  <c r="D17" i="1" s="1"/>
  <c r="C19" i="1"/>
  <c r="D19" i="1" s="1"/>
  <c r="C20" i="1"/>
  <c r="D20" i="1" s="1"/>
  <c r="C21" i="1"/>
  <c r="D21" i="1" s="1"/>
  <c r="C23" i="1"/>
  <c r="D23" i="1" s="1"/>
  <c r="C24" i="1"/>
  <c r="D24" i="1" s="1"/>
  <c r="C25" i="1"/>
  <c r="D25" i="1" s="1"/>
  <c r="C27" i="1"/>
  <c r="D27" i="1" s="1"/>
  <c r="C28" i="1"/>
  <c r="D28" i="1" s="1"/>
  <c r="C29" i="1"/>
  <c r="D29" i="1" s="1"/>
  <c r="C30" i="1"/>
  <c r="D30" i="1" s="1"/>
  <c r="C5" i="1" l="1"/>
  <c r="D5" i="1" s="1"/>
  <c r="C3" i="1"/>
  <c r="D3" i="1" s="1"/>
  <c r="C4" i="1"/>
  <c r="D4" i="1" s="1"/>
</calcChain>
</file>

<file path=xl/sharedStrings.xml><?xml version="1.0" encoding="utf-8"?>
<sst xmlns="http://schemas.openxmlformats.org/spreadsheetml/2006/main" count="183" uniqueCount="153">
  <si>
    <t xml:space="preserve">this.btnGain.Text = Gain      </t>
  </si>
  <si>
    <t>this.btnSessions.Text = Sessions</t>
  </si>
  <si>
    <t>this.btnLocks.Text = Locks</t>
  </si>
  <si>
    <t>this.btnSerwerror.Text = Error</t>
  </si>
  <si>
    <t>this.btnDDL.Text = DDL</t>
  </si>
  <si>
    <t>this.btnLongOps.Text = LongOps</t>
  </si>
  <si>
    <t>this.fileToolStripMenuItem.Text = File</t>
  </si>
  <si>
    <t>this.connectToolStripMenuItem.Text = Connect</t>
  </si>
  <si>
    <t>this.disconnectToolStripMenuItem.Text = Disconnect</t>
  </si>
  <si>
    <t>this.aboutToolStripMenuItem.Text = About</t>
  </si>
  <si>
    <t>this.infoToolStripMenuItem.Text = Info</t>
  </si>
  <si>
    <t>this.menuStrip1.Text = menuStrip1</t>
  </si>
  <si>
    <t>this.statusStrip1.Text = statusStrip1</t>
  </si>
  <si>
    <t>this.btnExecutes.Text = Executes</t>
  </si>
  <si>
    <t>this.btnParses.Text = Parses</t>
  </si>
  <si>
    <t>this.btnUserCalls.Text = User Calls</t>
  </si>
  <si>
    <t>this.btnDeadlocks.Text = Daedlocks</t>
  </si>
  <si>
    <t>this.groupBox2.Text = Monitor buttons ( work work work.... )</t>
  </si>
  <si>
    <t>this.btnBytesSend.Text = BytesSend</t>
  </si>
  <si>
    <t>this.btnPhysicalReads.Text = PhysReads</t>
  </si>
  <si>
    <t>this.btnCPUBYTHIS.Text = CPU</t>
  </si>
  <si>
    <t>this.btnCommits.Text = Commits</t>
  </si>
  <si>
    <t>this.btnTableStatistics.Text = Stats</t>
  </si>
  <si>
    <t>this.groupBox3.Text = Developper</t>
  </si>
  <si>
    <t>this.groupBox1.Text = Sessions</t>
  </si>
  <si>
    <t>this.langToolStripMenuItem.Text = Lang</t>
  </si>
  <si>
    <t>this.eNToolStripMenuItem.Text = EN</t>
  </si>
  <si>
    <t>this.pLToolStripMenuItem.Text = PL</t>
  </si>
  <si>
    <t>this.Text = Asseco Tools</t>
  </si>
  <si>
    <t>this.tabPage2.Text=StatisticsOptions</t>
  </si>
  <si>
    <t>this.label6.Text=Modiff</t>
  </si>
  <si>
    <t>this.label5.Text=EstimatePercent</t>
  </si>
  <si>
    <t>this.label4.Text=Parallel</t>
  </si>
  <si>
    <t>this.groupBox2.Text=Progres</t>
  </si>
  <si>
    <t>this.toolStripButton3.Text=GatherStats</t>
  </si>
  <si>
    <t>this.toolStripButton1.Text=ALL</t>
  </si>
  <si>
    <t>this.toolStripButton2.Text=PRC</t>
  </si>
  <si>
    <t>this.toolStripButton7.Text=COLS</t>
  </si>
  <si>
    <t>this.toolStripButton5.Text=MOD</t>
  </si>
  <si>
    <t>this.toolStripButton6.Text=MISS</t>
  </si>
  <si>
    <t>this.toolStripButton4.Text=COUNT</t>
  </si>
  <si>
    <t>this.label3.Text=Errors/Warnings</t>
  </si>
  <si>
    <t>this.labelObject.Text=</t>
  </si>
  <si>
    <t>this.label1.Text=Object</t>
  </si>
  <si>
    <t>this.Text=SchemaStatistics</t>
  </si>
  <si>
    <t>this.checkStatisticsToolStripMenuItem.Text=CheckStatistics</t>
  </si>
  <si>
    <t>this.gatherStatisticsToolStripMenuItem.Text=GatherStatistics</t>
  </si>
  <si>
    <t>this.unlockSchemaToolStripMenuItem.Text=UnlockSchema</t>
  </si>
  <si>
    <t>this.lockSchemaToolStripMenuItem.Text=LockSchema</t>
  </si>
  <si>
    <t>this.refreshToolStripMenuItem.Text=Refresh</t>
  </si>
  <si>
    <t>this.tablesToolStripMenuItem.Text=Tables</t>
  </si>
  <si>
    <t>this.showStatTablesToolStripMenuItem.Text=ShowTableStats</t>
  </si>
  <si>
    <t>this.toolStrip1.Text=toolStrip1</t>
  </si>
  <si>
    <t>this.tbtnStop.Text=Stop</t>
  </si>
  <si>
    <t>this.toolStripDropDownButton1.Text=Logs</t>
  </si>
  <si>
    <t>this.logToolStripMenuItem.Text=RunLog</t>
  </si>
  <si>
    <t>this.errorToolStripMenuItem.Text=DetailErrorLog</t>
  </si>
  <si>
    <t>this.groupBox1.Text=SelectSchemas</t>
  </si>
  <si>
    <t>this.tabPage1.Text=Schemas</t>
  </si>
  <si>
    <t>About</t>
  </si>
  <si>
    <t>Info Comment</t>
  </si>
  <si>
    <t>BytesSend</t>
  </si>
  <si>
    <t>Commits</t>
  </si>
  <si>
    <t>CPU</t>
  </si>
  <si>
    <t>DDL</t>
  </si>
  <si>
    <t>Daedlocks</t>
  </si>
  <si>
    <t>Executes</t>
  </si>
  <si>
    <t>Gain</t>
  </si>
  <si>
    <t>Locks</t>
  </si>
  <si>
    <t>Show locks with history</t>
  </si>
  <si>
    <t>LongOps</t>
  </si>
  <si>
    <t>Parses</t>
  </si>
  <si>
    <t>PhysReads</t>
  </si>
  <si>
    <t>Error</t>
  </si>
  <si>
    <t>Sessions</t>
  </si>
  <si>
    <t>Stats</t>
  </si>
  <si>
    <t>User Calls</t>
  </si>
  <si>
    <t>Connect</t>
  </si>
  <si>
    <t>Disconnect</t>
  </si>
  <si>
    <t>EN</t>
  </si>
  <si>
    <t>File</t>
  </si>
  <si>
    <t xml:space="preserve">Database Connection </t>
  </si>
  <si>
    <t>FormSchemaStats_tabPage1_Text</t>
  </si>
  <si>
    <t>Schemas</t>
  </si>
  <si>
    <t>Monitor buttons ( work work work.... )</t>
  </si>
  <si>
    <t>Developper</t>
  </si>
  <si>
    <t>Info</t>
  </si>
  <si>
    <t>Lang</t>
  </si>
  <si>
    <t>menuStrip1</t>
  </si>
  <si>
    <t>Options</t>
  </si>
  <si>
    <t>PL</t>
  </si>
  <si>
    <t>statusStrip1</t>
  </si>
  <si>
    <t>Form1_aboutToolStripMenuItem_Text</t>
  </si>
  <si>
    <t>Form1_btnBytesSend_Text</t>
  </si>
  <si>
    <t>Form1_btnCommits_Text</t>
  </si>
  <si>
    <t>Form1_btnCPUBYTHIS_Text</t>
  </si>
  <si>
    <t>Form1_btnDDL_Text</t>
  </si>
  <si>
    <t>Form1_btnDeadlocks_Text</t>
  </si>
  <si>
    <t>Form1_btnExecutes_Text</t>
  </si>
  <si>
    <t>Form1_btnGain_Text</t>
  </si>
  <si>
    <t>Form1_btnLocks_Text</t>
  </si>
  <si>
    <t>Form1_btnLocks_ToolTip</t>
  </si>
  <si>
    <t>Form1_btnLongOps_Text</t>
  </si>
  <si>
    <t>Form1_btnParses_Text</t>
  </si>
  <si>
    <t>Form1_btnPhysicalReads_Text</t>
  </si>
  <si>
    <t>Form1_btnSerwerror_Text</t>
  </si>
  <si>
    <t>Form1_btnSessions_Text</t>
  </si>
  <si>
    <t>Form1_btnTableStatistics_Text</t>
  </si>
  <si>
    <t>Form1_btnUserCalls_Text</t>
  </si>
  <si>
    <t>Form1_connectToolStripMenuItem_Text</t>
  </si>
  <si>
    <t>Form1_disconnectToolStripMenuItem_Text</t>
  </si>
  <si>
    <t>Form1_eNToolStripMenuItem_Text</t>
  </si>
  <si>
    <t>Form1_fileToolStripMenuItem_Text</t>
  </si>
  <si>
    <t>Form1_fileToolStripMenuItem_ToolTip</t>
  </si>
  <si>
    <t>Form1_FormSchemaStats_tabPage1_Text</t>
  </si>
  <si>
    <t>Form1_groupBox1_Text</t>
  </si>
  <si>
    <t>Form1_groupBox2_Text</t>
  </si>
  <si>
    <t>Form1_groupBox3_Text</t>
  </si>
  <si>
    <t>Form1_infoToolStripMenuItem_Text</t>
  </si>
  <si>
    <t>Form1_langToolStripMenuItem_Text</t>
  </si>
  <si>
    <t>Form1_menuStrip1_Text</t>
  </si>
  <si>
    <t>Form1_optionsToolStripMenuItem_Text</t>
  </si>
  <si>
    <t>Form1_pLToolStripMenuItem_Text</t>
  </si>
  <si>
    <t>Form1_statusStrip1_Text</t>
  </si>
  <si>
    <t>FormSchemaStats_</t>
  </si>
  <si>
    <t>FormSchemaStats_checkStatisticsToolStripMenuItem_Text</t>
  </si>
  <si>
    <t>FormSchemaStats_gatherStatisticsToolStripMenuItem_Text</t>
  </si>
  <si>
    <t>FormSchemaStats_unlockSchemaToolStripMenuItem_Text</t>
  </si>
  <si>
    <t>FormSchemaStats_lockSchemaToolStripMenuItem_Text</t>
  </si>
  <si>
    <t>FormSchemaStats_refreshToolStripMenuItem_Text</t>
  </si>
  <si>
    <t>FormSchemaStats_tablesToolStripMenuItem_Text</t>
  </si>
  <si>
    <t>FormSchemaStats_showStatTablesToolStripMenuItem_Text</t>
  </si>
  <si>
    <t>FormSchemaStats_toolStrip1_Text</t>
  </si>
  <si>
    <t>FormSchemaStats_tbtnStop_Text</t>
  </si>
  <si>
    <t>FormSchemaStats_toolStripDropDownButton1_Text</t>
  </si>
  <si>
    <t>FormSchemaStats_logToolStripMenuItem_Text</t>
  </si>
  <si>
    <t>FormSchemaStats_errorToolStripMenuItem_Text</t>
  </si>
  <si>
    <t>FormSchemaStats_groupBox1_Text</t>
  </si>
  <si>
    <t>FormSchemaStats_tabPage2_Text</t>
  </si>
  <si>
    <t>FormSchemaStats_label6_Text</t>
  </si>
  <si>
    <t>FormSchemaStats_label5_Text</t>
  </si>
  <si>
    <t>FormSchemaStats_label4_Text</t>
  </si>
  <si>
    <t>FormSchemaStats_groupBox2_Text</t>
  </si>
  <si>
    <t>FormSchemaStats_toolStripButton3_Text</t>
  </si>
  <si>
    <t>FormSchemaStats_toolStripButton1_Text</t>
  </si>
  <si>
    <t>FormSchemaStats_toolStripButton2_Text</t>
  </si>
  <si>
    <t>FormSchemaStats_toolStripButton7_Text</t>
  </si>
  <si>
    <t>FormSchemaStats_toolStripButton5_Text</t>
  </si>
  <si>
    <t>FormSchemaStats_toolStripButton6_Text</t>
  </si>
  <si>
    <t>FormSchemaStats_toolStripButton4_Text</t>
  </si>
  <si>
    <t>FormSchemaStats_label3_Text</t>
  </si>
  <si>
    <t>FormSchemaStats_labelObject_Text</t>
  </si>
  <si>
    <t>FormSchemaStats_label1_Text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</si>
</sst>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>
      <selection activeCell="C2" sqref="C2:D30"/>
    </sheetView>
  </sheetViews>
  <sheetFormatPr defaultRowHeight="15" x14ac:dyDescent="0.25"/>
  <cols>
    <col min="2" max="2" width="55.28515625" bestFit="1" customWidth="1"/>
    <col min="3" max="3" width="54.85546875" bestFit="1" customWidth="1"/>
    <col min="4" max="4" width="133.7109375" bestFit="1" customWidth="1"/>
  </cols>
  <sheetData>
    <row r="2" spans="2:4" x14ac:dyDescent="0.25">
      <c r="B2" s="1" t="s">
        <v>125</v>
      </c>
      <c r="C2" t="str">
        <f>REPLACE(B2,FIND("_Text",B2,1),5,".Text")</f>
        <v>FormSchemaStats_checkStatisticsToolStripMenuItem.Text</v>
      </c>
      <c r="D2" t="str">
        <f>CONCATENATE(C2," = ","resman.GetString(","""",B2,"""",", ci);")</f>
        <v>FormSchemaStats_checkStatisticsToolStripMenuItem.Text = resman.GetString("FormSchemaStats_checkStatisticsToolStripMenuItem_Text", ci);</v>
      </c>
    </row>
    <row r="3" spans="2:4" x14ac:dyDescent="0.25">
      <c r="B3" s="1" t="s">
        <v>126</v>
      </c>
      <c r="C3" t="str">
        <f t="shared" ref="C3:C33" si="0">REPLACE(B3,FIND("_Text",B3,1),5,".Text")</f>
        <v>FormSchemaStats_gatherStatisticsToolStripMenuItem.Text</v>
      </c>
      <c r="D3" t="str">
        <f t="shared" ref="D3:D33" si="1">CONCATENATE(C3," = ","resman.GetString(","""",B3,"""",", ci);")</f>
        <v>FormSchemaStats_gatherStatisticsToolStripMenuItem.Text = resman.GetString("FormSchemaStats_gatherStatisticsToolStripMenuItem_Text", ci);</v>
      </c>
    </row>
    <row r="4" spans="2:4" x14ac:dyDescent="0.25">
      <c r="B4" s="1" t="s">
        <v>127</v>
      </c>
      <c r="C4" t="str">
        <f t="shared" si="0"/>
        <v>FormSchemaStats_unlockSchemaToolStripMenuItem.Text</v>
      </c>
      <c r="D4" t="str">
        <f t="shared" si="1"/>
        <v>FormSchemaStats_unlockSchemaToolStripMenuItem.Text = resman.GetString("FormSchemaStats_unlockSchemaToolStripMenuItem_Text", ci);</v>
      </c>
    </row>
    <row r="5" spans="2:4" x14ac:dyDescent="0.25">
      <c r="B5" s="1" t="s">
        <v>128</v>
      </c>
      <c r="C5" t="str">
        <f t="shared" si="0"/>
        <v>FormSchemaStats_lockSchemaToolStripMenuItem.Text</v>
      </c>
      <c r="D5" t="str">
        <f t="shared" si="1"/>
        <v>FormSchemaStats_lockSchemaToolStripMenuItem.Text = resman.GetString("FormSchemaStats_lockSchemaToolStripMenuItem_Text", ci);</v>
      </c>
    </row>
    <row r="6" spans="2:4" x14ac:dyDescent="0.25">
      <c r="B6" t="s">
        <v>129</v>
      </c>
      <c r="C6" t="str">
        <f t="shared" si="0"/>
        <v>FormSchemaStats_refreshToolStripMenuItem.Text</v>
      </c>
      <c r="D6" t="str">
        <f t="shared" si="1"/>
        <v>FormSchemaStats_refreshToolStripMenuItem.Text = resman.GetString("FormSchemaStats_refreshToolStripMenuItem_Text", ci);</v>
      </c>
    </row>
    <row r="7" spans="2:4" x14ac:dyDescent="0.25">
      <c r="B7" t="s">
        <v>130</v>
      </c>
      <c r="C7" t="str">
        <f t="shared" si="0"/>
        <v>FormSchemaStats_tablesToolStripMenuItem.Text</v>
      </c>
      <c r="D7" t="str">
        <f t="shared" si="1"/>
        <v>FormSchemaStats_tablesToolStripMenuItem.Text = resman.GetString("FormSchemaStats_tablesToolStripMenuItem_Text", ci);</v>
      </c>
    </row>
    <row r="8" spans="2:4" x14ac:dyDescent="0.25">
      <c r="B8" t="s">
        <v>131</v>
      </c>
      <c r="C8" t="str">
        <f t="shared" si="0"/>
        <v>FormSchemaStats_showStatTablesToolStripMenuItem.Text</v>
      </c>
      <c r="D8" t="str">
        <f t="shared" si="1"/>
        <v>FormSchemaStats_showStatTablesToolStripMenuItem.Text = resman.GetString("FormSchemaStats_showStatTablesToolStripMenuItem_Text", ci);</v>
      </c>
    </row>
    <row r="9" spans="2:4" x14ac:dyDescent="0.25">
      <c r="B9" t="s">
        <v>132</v>
      </c>
      <c r="C9" t="str">
        <f t="shared" si="0"/>
        <v>FormSchemaStats_toolStrip1.Text</v>
      </c>
      <c r="D9" t="str">
        <f t="shared" si="1"/>
        <v>FormSchemaStats_toolStrip1.Text = resman.GetString("FormSchemaStats_toolStrip1_Text", ci);</v>
      </c>
    </row>
    <row r="10" spans="2:4" x14ac:dyDescent="0.25">
      <c r="B10" t="s">
        <v>133</v>
      </c>
      <c r="C10" t="str">
        <f t="shared" si="0"/>
        <v>FormSchemaStats_tbtnStop.Text</v>
      </c>
      <c r="D10" t="str">
        <f t="shared" si="1"/>
        <v>FormSchemaStats_tbtnStop.Text = resman.GetString("FormSchemaStats_tbtnStop_Text", ci);</v>
      </c>
    </row>
    <row r="11" spans="2:4" x14ac:dyDescent="0.25">
      <c r="B11" t="s">
        <v>134</v>
      </c>
      <c r="C11" t="str">
        <f t="shared" si="0"/>
        <v>FormSchemaStats_toolStripDropDownButton1.Text</v>
      </c>
      <c r="D11" t="str">
        <f t="shared" si="1"/>
        <v>FormSchemaStats_toolStripDropDownButton1.Text = resman.GetString("FormSchemaStats_toolStripDropDownButton1_Text", ci);</v>
      </c>
    </row>
    <row r="12" spans="2:4" x14ac:dyDescent="0.25">
      <c r="B12" t="s">
        <v>135</v>
      </c>
      <c r="C12" t="str">
        <f t="shared" si="0"/>
        <v>FormSchemaStats_logToolStripMenuItem.Text</v>
      </c>
      <c r="D12" t="str">
        <f t="shared" si="1"/>
        <v>FormSchemaStats_logToolStripMenuItem.Text = resman.GetString("FormSchemaStats_logToolStripMenuItem_Text", ci);</v>
      </c>
    </row>
    <row r="13" spans="2:4" x14ac:dyDescent="0.25">
      <c r="B13" t="s">
        <v>136</v>
      </c>
      <c r="C13" t="str">
        <f t="shared" si="0"/>
        <v>FormSchemaStats_errorToolStripMenuItem.Text</v>
      </c>
      <c r="D13" t="str">
        <f t="shared" si="1"/>
        <v>FormSchemaStats_errorToolStripMenuItem.Text = resman.GetString("FormSchemaStats_errorToolStripMenuItem_Text", ci);</v>
      </c>
    </row>
    <row r="14" spans="2:4" x14ac:dyDescent="0.25">
      <c r="B14" t="s">
        <v>137</v>
      </c>
      <c r="C14" t="str">
        <f t="shared" si="0"/>
        <v>FormSchemaStats_groupBox1.Text</v>
      </c>
      <c r="D14" t="str">
        <f t="shared" si="1"/>
        <v>FormSchemaStats_groupBox1.Text = resman.GetString("FormSchemaStats_groupBox1_Text", ci);</v>
      </c>
    </row>
    <row r="15" spans="2:4" x14ac:dyDescent="0.25">
      <c r="B15" t="s">
        <v>82</v>
      </c>
      <c r="C15" t="str">
        <f t="shared" si="0"/>
        <v>FormSchemaStats_tabPage1.Text</v>
      </c>
      <c r="D15" t="str">
        <f t="shared" si="1"/>
        <v>FormSchemaStats_tabPage1.Text = resman.GetString("FormSchemaStats_tabPage1_Text", ci);</v>
      </c>
    </row>
    <row r="16" spans="2:4" x14ac:dyDescent="0.25">
      <c r="B16" t="s">
        <v>138</v>
      </c>
      <c r="C16" t="str">
        <f t="shared" si="0"/>
        <v>FormSchemaStats_tabPage2.Text</v>
      </c>
      <c r="D16" t="str">
        <f t="shared" si="1"/>
        <v>FormSchemaStats_tabPage2.Text = resman.GetString("FormSchemaStats_tabPage2_Text", ci);</v>
      </c>
    </row>
    <row r="17" spans="2:4" x14ac:dyDescent="0.25">
      <c r="B17" t="s">
        <v>139</v>
      </c>
      <c r="C17" t="str">
        <f t="shared" si="0"/>
        <v>FormSchemaStats_label6.Text</v>
      </c>
      <c r="D17" t="str">
        <f t="shared" si="1"/>
        <v>FormSchemaStats_label6.Text = resman.GetString("FormSchemaStats_label6_Text", ci);</v>
      </c>
    </row>
    <row r="18" spans="2:4" x14ac:dyDescent="0.25">
      <c r="B18" t="s">
        <v>140</v>
      </c>
      <c r="C18" t="str">
        <f t="shared" si="0"/>
        <v>FormSchemaStats_label5.Text</v>
      </c>
      <c r="D18" t="str">
        <f t="shared" si="1"/>
        <v>FormSchemaStats_label5.Text = resman.GetString("FormSchemaStats_label5_Text", ci);</v>
      </c>
    </row>
    <row r="19" spans="2:4" x14ac:dyDescent="0.25">
      <c r="B19" t="s">
        <v>141</v>
      </c>
      <c r="C19" t="str">
        <f t="shared" si="0"/>
        <v>FormSchemaStats_label4.Text</v>
      </c>
      <c r="D19" t="str">
        <f t="shared" si="1"/>
        <v>FormSchemaStats_label4.Text = resman.GetString("FormSchemaStats_label4_Text", ci);</v>
      </c>
    </row>
    <row r="20" spans="2:4" x14ac:dyDescent="0.25">
      <c r="B20" t="s">
        <v>142</v>
      </c>
      <c r="C20" t="str">
        <f t="shared" si="0"/>
        <v>FormSchemaStats_groupBox2.Text</v>
      </c>
      <c r="D20" t="str">
        <f t="shared" si="1"/>
        <v>FormSchemaStats_groupBox2.Text = resman.GetString("FormSchemaStats_groupBox2_Text", ci);</v>
      </c>
    </row>
    <row r="21" spans="2:4" x14ac:dyDescent="0.25">
      <c r="B21" t="s">
        <v>143</v>
      </c>
      <c r="C21" t="str">
        <f t="shared" si="0"/>
        <v>FormSchemaStats_toolStripButton3.Text</v>
      </c>
      <c r="D21" t="str">
        <f t="shared" si="1"/>
        <v>FormSchemaStats_toolStripButton3.Text = resman.GetString("FormSchemaStats_toolStripButton3_Text", ci);</v>
      </c>
    </row>
    <row r="22" spans="2:4" x14ac:dyDescent="0.25">
      <c r="B22" t="s">
        <v>144</v>
      </c>
      <c r="C22" t="str">
        <f t="shared" si="0"/>
        <v>FormSchemaStats_toolStripButton1.Text</v>
      </c>
      <c r="D22" t="str">
        <f t="shared" si="1"/>
        <v>FormSchemaStats_toolStripButton1.Text = resman.GetString("FormSchemaStats_toolStripButton1_Text", ci);</v>
      </c>
    </row>
    <row r="23" spans="2:4" x14ac:dyDescent="0.25">
      <c r="B23" t="s">
        <v>145</v>
      </c>
      <c r="C23" t="str">
        <f t="shared" si="0"/>
        <v>FormSchemaStats_toolStripButton2.Text</v>
      </c>
      <c r="D23" t="str">
        <f t="shared" si="1"/>
        <v>FormSchemaStats_toolStripButton2.Text = resman.GetString("FormSchemaStats_toolStripButton2_Text", ci);</v>
      </c>
    </row>
    <row r="24" spans="2:4" x14ac:dyDescent="0.25">
      <c r="B24" t="s">
        <v>146</v>
      </c>
      <c r="C24" t="str">
        <f t="shared" si="0"/>
        <v>FormSchemaStats_toolStripButton7.Text</v>
      </c>
      <c r="D24" t="str">
        <f t="shared" si="1"/>
        <v>FormSchemaStats_toolStripButton7.Text = resman.GetString("FormSchemaStats_toolStripButton7_Text", ci);</v>
      </c>
    </row>
    <row r="25" spans="2:4" x14ac:dyDescent="0.25">
      <c r="B25" t="s">
        <v>147</v>
      </c>
      <c r="C25" t="str">
        <f t="shared" si="0"/>
        <v>FormSchemaStats_toolStripButton5.Text</v>
      </c>
      <c r="D25" t="str">
        <f t="shared" si="1"/>
        <v>FormSchemaStats_toolStripButton5.Text = resman.GetString("FormSchemaStats_toolStripButton5_Text", ci);</v>
      </c>
    </row>
    <row r="26" spans="2:4" x14ac:dyDescent="0.25">
      <c r="B26" t="s">
        <v>148</v>
      </c>
      <c r="C26" t="str">
        <f t="shared" si="0"/>
        <v>FormSchemaStats_toolStripButton6.Text</v>
      </c>
      <c r="D26" t="str">
        <f t="shared" si="1"/>
        <v>FormSchemaStats_toolStripButton6.Text = resman.GetString("FormSchemaStats_toolStripButton6_Text", ci);</v>
      </c>
    </row>
    <row r="27" spans="2:4" x14ac:dyDescent="0.25">
      <c r="B27" t="s">
        <v>149</v>
      </c>
      <c r="C27" t="str">
        <f t="shared" si="0"/>
        <v>FormSchemaStats_toolStripButton4.Text</v>
      </c>
      <c r="D27" t="str">
        <f t="shared" si="1"/>
        <v>FormSchemaStats_toolStripButton4.Text = resman.GetString("FormSchemaStats_toolStripButton4_Text", ci);</v>
      </c>
    </row>
    <row r="28" spans="2:4" x14ac:dyDescent="0.25">
      <c r="B28" t="s">
        <v>150</v>
      </c>
      <c r="C28" t="str">
        <f t="shared" si="0"/>
        <v>FormSchemaStats_label3.Text</v>
      </c>
      <c r="D28" t="str">
        <f t="shared" si="1"/>
        <v>FormSchemaStats_label3.Text = resman.GetString("FormSchemaStats_label3_Text", ci);</v>
      </c>
    </row>
    <row r="29" spans="2:4" x14ac:dyDescent="0.25">
      <c r="B29" t="s">
        <v>151</v>
      </c>
      <c r="C29" t="str">
        <f t="shared" si="0"/>
        <v>FormSchemaStats_labelObject.Text</v>
      </c>
      <c r="D29" t="str">
        <f t="shared" si="1"/>
        <v>FormSchemaStats_labelObject.Text = resman.GetString("FormSchemaStats_labelObject_Text", ci);</v>
      </c>
    </row>
    <row r="30" spans="2:4" x14ac:dyDescent="0.25">
      <c r="B30" t="s">
        <v>152</v>
      </c>
      <c r="C30" t="str">
        <f t="shared" si="0"/>
        <v>FormSchemaStats_label1.Text</v>
      </c>
      <c r="D30" t="str">
        <f t="shared" si="1"/>
        <v>FormSchemaStats_label1.Text = resman.GetString("FormSchemaStats_label1_Text", ci);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4"/>
  <sheetViews>
    <sheetView tabSelected="1" workbookViewId="0">
      <selection activeCell="D44" sqref="D44"/>
    </sheetView>
  </sheetViews>
  <sheetFormatPr defaultRowHeight="15" x14ac:dyDescent="0.25"/>
  <cols>
    <col min="1" max="1" width="16.85546875" bestFit="1" customWidth="1"/>
    <col min="2" max="2" width="70.140625" customWidth="1"/>
    <col min="3" max="3" width="57.28515625" customWidth="1"/>
    <col min="4" max="4" width="55.28515625" style="2" bestFit="1" customWidth="1"/>
    <col min="5" max="5" width="36.85546875" bestFit="1" customWidth="1"/>
    <col min="7" max="7" width="73.42578125" customWidth="1"/>
  </cols>
  <sheetData>
    <row r="2" spans="2:5" x14ac:dyDescent="0.25">
      <c r="B2" t="s">
        <v>0</v>
      </c>
      <c r="C2" t="str">
        <f>REPLACE(TRIM(B2),FIND("this.",TRIM(B2),1),5,"")</f>
        <v>btnGain.Text = Gain</v>
      </c>
      <c r="D2" s="2" t="str">
        <f>REPLACE(MID(TRIM(C2),1,FIND("=",TRIM(C2),1)-1),FIND(".",TRIM(C2),1),1,"_")</f>
        <v xml:space="preserve">btnGain_Text </v>
      </c>
      <c r="E2" t="str">
        <f>TRIM(MID(TRIM(B2),FIND("=",TRIM(B2),1)+1,LEN(TRIM(B2))))</f>
        <v>Gain</v>
      </c>
    </row>
    <row r="3" spans="2:5" x14ac:dyDescent="0.25">
      <c r="B3" t="s">
        <v>1</v>
      </c>
      <c r="C3" t="str">
        <f t="shared" ref="C3:C59" si="0">REPLACE(B3,FIND("this.",B3,1),5,"")</f>
        <v>btnSessions.Text = Sessions</v>
      </c>
      <c r="D3" s="2" t="str">
        <f t="shared" ref="D3:D59" si="1">REPLACE(MID(C3,1,FIND("=",C3,1)-1),FIND(".",C3,1),1,"_")</f>
        <v xml:space="preserve">btnSessions_Text </v>
      </c>
      <c r="E3" t="str">
        <f t="shared" ref="E3:E59" si="2">TRIM(MID(TRIM(B3),FIND("=",TRIM(B3),1)+1,LEN(TRIM(B3))))</f>
        <v>Sessions</v>
      </c>
    </row>
    <row r="4" spans="2:5" x14ac:dyDescent="0.25">
      <c r="B4" t="s">
        <v>2</v>
      </c>
      <c r="C4" t="str">
        <f t="shared" si="0"/>
        <v>btnLocks.Text = Locks</v>
      </c>
      <c r="D4" s="2" t="str">
        <f t="shared" si="1"/>
        <v xml:space="preserve">btnLocks_Text </v>
      </c>
      <c r="E4" t="str">
        <f t="shared" si="2"/>
        <v>Locks</v>
      </c>
    </row>
    <row r="5" spans="2:5" x14ac:dyDescent="0.25">
      <c r="B5" t="s">
        <v>3</v>
      </c>
      <c r="C5" t="str">
        <f t="shared" si="0"/>
        <v>btnSerwerror.Text = Error</v>
      </c>
      <c r="D5" s="2" t="str">
        <f t="shared" si="1"/>
        <v xml:space="preserve">btnSerwerror_Text </v>
      </c>
      <c r="E5" t="str">
        <f t="shared" si="2"/>
        <v>Error</v>
      </c>
    </row>
    <row r="6" spans="2:5" x14ac:dyDescent="0.25">
      <c r="B6" t="s">
        <v>4</v>
      </c>
      <c r="C6" t="str">
        <f t="shared" si="0"/>
        <v>btnDDL.Text = DDL</v>
      </c>
      <c r="D6" s="2" t="str">
        <f t="shared" si="1"/>
        <v xml:space="preserve">btnDDL_Text </v>
      </c>
      <c r="E6" t="str">
        <f t="shared" si="2"/>
        <v>DDL</v>
      </c>
    </row>
    <row r="7" spans="2:5" x14ac:dyDescent="0.25">
      <c r="B7" t="s">
        <v>5</v>
      </c>
      <c r="C7" t="str">
        <f t="shared" si="0"/>
        <v>btnLongOps.Text = LongOps</v>
      </c>
      <c r="D7" s="2" t="str">
        <f t="shared" si="1"/>
        <v xml:space="preserve">btnLongOps_Text </v>
      </c>
      <c r="E7" t="str">
        <f t="shared" si="2"/>
        <v>LongOps</v>
      </c>
    </row>
    <row r="8" spans="2:5" x14ac:dyDescent="0.25">
      <c r="B8" t="s">
        <v>6</v>
      </c>
      <c r="C8" t="str">
        <f t="shared" si="0"/>
        <v>fileToolStripMenuItem.Text = File</v>
      </c>
      <c r="D8" s="2" t="str">
        <f t="shared" si="1"/>
        <v xml:space="preserve">fileToolStripMenuItem_Text </v>
      </c>
      <c r="E8" t="str">
        <f t="shared" si="2"/>
        <v>File</v>
      </c>
    </row>
    <row r="9" spans="2:5" x14ac:dyDescent="0.25">
      <c r="B9" t="s">
        <v>7</v>
      </c>
      <c r="C9" t="str">
        <f t="shared" si="0"/>
        <v>connectToolStripMenuItem.Text = Connect</v>
      </c>
      <c r="D9" s="2" t="str">
        <f t="shared" si="1"/>
        <v xml:space="preserve">connectToolStripMenuItem_Text </v>
      </c>
      <c r="E9" t="str">
        <f t="shared" si="2"/>
        <v>Connect</v>
      </c>
    </row>
    <row r="10" spans="2:5" x14ac:dyDescent="0.25">
      <c r="B10" t="s">
        <v>8</v>
      </c>
      <c r="C10" t="str">
        <f t="shared" si="0"/>
        <v>disconnectToolStripMenuItem.Text = Disconnect</v>
      </c>
      <c r="D10" s="2" t="str">
        <f t="shared" si="1"/>
        <v xml:space="preserve">disconnectToolStripMenuItem_Text </v>
      </c>
      <c r="E10" t="str">
        <f t="shared" si="2"/>
        <v>Disconnect</v>
      </c>
    </row>
    <row r="11" spans="2:5" x14ac:dyDescent="0.25">
      <c r="B11" t="s">
        <v>9</v>
      </c>
      <c r="C11" t="str">
        <f t="shared" si="0"/>
        <v>aboutToolStripMenuItem.Text = About</v>
      </c>
      <c r="D11" s="2" t="str">
        <f t="shared" si="1"/>
        <v xml:space="preserve">aboutToolStripMenuItem_Text </v>
      </c>
      <c r="E11" t="str">
        <f t="shared" si="2"/>
        <v>About</v>
      </c>
    </row>
    <row r="12" spans="2:5" x14ac:dyDescent="0.25">
      <c r="B12" t="s">
        <v>10</v>
      </c>
      <c r="C12" t="str">
        <f t="shared" si="0"/>
        <v>infoToolStripMenuItem.Text = Info</v>
      </c>
      <c r="D12" s="2" t="str">
        <f t="shared" si="1"/>
        <v xml:space="preserve">infoToolStripMenuItem_Text </v>
      </c>
      <c r="E12" t="str">
        <f t="shared" si="2"/>
        <v>Info</v>
      </c>
    </row>
    <row r="13" spans="2:5" x14ac:dyDescent="0.25">
      <c r="B13" t="s">
        <v>11</v>
      </c>
      <c r="C13" t="str">
        <f t="shared" si="0"/>
        <v>menuStrip1.Text = menuStrip1</v>
      </c>
      <c r="D13" s="2" t="str">
        <f t="shared" si="1"/>
        <v xml:space="preserve">menuStrip1_Text </v>
      </c>
      <c r="E13" t="str">
        <f t="shared" si="2"/>
        <v>menuStrip1</v>
      </c>
    </row>
    <row r="14" spans="2:5" x14ac:dyDescent="0.25">
      <c r="B14" t="s">
        <v>12</v>
      </c>
      <c r="C14" t="str">
        <f t="shared" si="0"/>
        <v>statusStrip1.Text = statusStrip1</v>
      </c>
      <c r="D14" s="2" t="str">
        <f t="shared" si="1"/>
        <v xml:space="preserve">statusStrip1_Text </v>
      </c>
      <c r="E14" t="str">
        <f t="shared" si="2"/>
        <v>statusStrip1</v>
      </c>
    </row>
    <row r="15" spans="2:5" x14ac:dyDescent="0.25">
      <c r="B15" t="s">
        <v>13</v>
      </c>
      <c r="C15" t="str">
        <f t="shared" si="0"/>
        <v>btnExecutes.Text = Executes</v>
      </c>
      <c r="D15" s="2" t="str">
        <f t="shared" si="1"/>
        <v xml:space="preserve">btnExecutes_Text </v>
      </c>
      <c r="E15" t="str">
        <f t="shared" si="2"/>
        <v>Executes</v>
      </c>
    </row>
    <row r="16" spans="2:5" x14ac:dyDescent="0.25">
      <c r="B16" t="s">
        <v>14</v>
      </c>
      <c r="C16" t="str">
        <f t="shared" si="0"/>
        <v>btnParses.Text = Parses</v>
      </c>
      <c r="D16" s="2" t="str">
        <f t="shared" si="1"/>
        <v xml:space="preserve">btnParses_Text </v>
      </c>
      <c r="E16" t="str">
        <f t="shared" si="2"/>
        <v>Parses</v>
      </c>
    </row>
    <row r="17" spans="2:5" x14ac:dyDescent="0.25">
      <c r="B17" t="s">
        <v>15</v>
      </c>
      <c r="C17" t="str">
        <f t="shared" si="0"/>
        <v>btnUserCalls.Text = User Calls</v>
      </c>
      <c r="D17" s="2" t="str">
        <f t="shared" si="1"/>
        <v xml:space="preserve">btnUserCalls_Text </v>
      </c>
      <c r="E17" t="str">
        <f t="shared" si="2"/>
        <v>User Calls</v>
      </c>
    </row>
    <row r="18" spans="2:5" x14ac:dyDescent="0.25">
      <c r="B18" t="s">
        <v>16</v>
      </c>
      <c r="C18" t="str">
        <f t="shared" si="0"/>
        <v>btnDeadlocks.Text = Daedlocks</v>
      </c>
      <c r="D18" s="2" t="str">
        <f t="shared" si="1"/>
        <v xml:space="preserve">btnDeadlocks_Text </v>
      </c>
      <c r="E18" t="str">
        <f t="shared" si="2"/>
        <v>Daedlocks</v>
      </c>
    </row>
    <row r="19" spans="2:5" x14ac:dyDescent="0.25">
      <c r="B19" t="s">
        <v>17</v>
      </c>
      <c r="C19" t="str">
        <f t="shared" si="0"/>
        <v>groupBox2.Text = Monitor buttons ( work work work.... )</v>
      </c>
      <c r="D19" s="2" t="str">
        <f t="shared" si="1"/>
        <v xml:space="preserve">groupBox2_Text </v>
      </c>
      <c r="E19" t="str">
        <f t="shared" si="2"/>
        <v>Monitor buttons ( work work work.... )</v>
      </c>
    </row>
    <row r="20" spans="2:5" x14ac:dyDescent="0.25">
      <c r="B20" t="s">
        <v>18</v>
      </c>
      <c r="C20" t="str">
        <f t="shared" si="0"/>
        <v>btnBytesSend.Text = BytesSend</v>
      </c>
      <c r="D20" s="2" t="str">
        <f t="shared" si="1"/>
        <v xml:space="preserve">btnBytesSend_Text </v>
      </c>
      <c r="E20" t="str">
        <f t="shared" si="2"/>
        <v>BytesSend</v>
      </c>
    </row>
    <row r="21" spans="2:5" x14ac:dyDescent="0.25">
      <c r="B21" t="s">
        <v>19</v>
      </c>
      <c r="C21" t="str">
        <f t="shared" si="0"/>
        <v>btnPhysicalReads.Text = PhysReads</v>
      </c>
      <c r="D21" s="2" t="str">
        <f t="shared" si="1"/>
        <v xml:space="preserve">btnPhysicalReads_Text </v>
      </c>
      <c r="E21" t="str">
        <f t="shared" si="2"/>
        <v>PhysReads</v>
      </c>
    </row>
    <row r="22" spans="2:5" x14ac:dyDescent="0.25">
      <c r="B22" t="s">
        <v>20</v>
      </c>
      <c r="C22" t="str">
        <f t="shared" si="0"/>
        <v>btnCPUBYTHIS.Text = CPU</v>
      </c>
      <c r="D22" s="2" t="str">
        <f t="shared" si="1"/>
        <v xml:space="preserve">btnCPUBYTHIS_Text </v>
      </c>
      <c r="E22" t="str">
        <f t="shared" si="2"/>
        <v>CPU</v>
      </c>
    </row>
    <row r="23" spans="2:5" x14ac:dyDescent="0.25">
      <c r="B23" t="s">
        <v>21</v>
      </c>
      <c r="C23" t="str">
        <f t="shared" si="0"/>
        <v>btnCommits.Text = Commits</v>
      </c>
      <c r="D23" s="2" t="str">
        <f t="shared" si="1"/>
        <v xml:space="preserve">btnCommits_Text </v>
      </c>
      <c r="E23" t="str">
        <f t="shared" si="2"/>
        <v>Commits</v>
      </c>
    </row>
    <row r="24" spans="2:5" x14ac:dyDescent="0.25">
      <c r="B24" t="s">
        <v>22</v>
      </c>
      <c r="C24" t="str">
        <f t="shared" si="0"/>
        <v>btnTableStatistics.Text = Stats</v>
      </c>
      <c r="D24" s="2" t="str">
        <f t="shared" si="1"/>
        <v xml:space="preserve">btnTableStatistics_Text </v>
      </c>
      <c r="E24" t="str">
        <f t="shared" si="2"/>
        <v>Stats</v>
      </c>
    </row>
    <row r="25" spans="2:5" x14ac:dyDescent="0.25">
      <c r="B25" t="s">
        <v>23</v>
      </c>
      <c r="C25" t="str">
        <f t="shared" si="0"/>
        <v>groupBox3.Text = Developper</v>
      </c>
      <c r="D25" s="2" t="str">
        <f t="shared" si="1"/>
        <v xml:space="preserve">groupBox3_Text </v>
      </c>
      <c r="E25" t="str">
        <f t="shared" si="2"/>
        <v>Developper</v>
      </c>
    </row>
    <row r="26" spans="2:5" x14ac:dyDescent="0.25">
      <c r="B26" t="s">
        <v>24</v>
      </c>
      <c r="C26" t="str">
        <f t="shared" si="0"/>
        <v>groupBox1.Text = Sessions</v>
      </c>
      <c r="D26" s="2" t="str">
        <f t="shared" si="1"/>
        <v xml:space="preserve">groupBox1_Text </v>
      </c>
      <c r="E26" t="str">
        <f t="shared" si="2"/>
        <v>Sessions</v>
      </c>
    </row>
    <row r="27" spans="2:5" x14ac:dyDescent="0.25">
      <c r="B27" t="s">
        <v>25</v>
      </c>
      <c r="C27" t="str">
        <f t="shared" si="0"/>
        <v>langToolStripMenuItem.Text = Lang</v>
      </c>
      <c r="D27" s="2" t="str">
        <f t="shared" si="1"/>
        <v xml:space="preserve">langToolStripMenuItem_Text </v>
      </c>
      <c r="E27" t="str">
        <f t="shared" si="2"/>
        <v>Lang</v>
      </c>
    </row>
    <row r="28" spans="2:5" x14ac:dyDescent="0.25">
      <c r="B28" t="s">
        <v>26</v>
      </c>
      <c r="C28" t="str">
        <f t="shared" si="0"/>
        <v>eNToolStripMenuItem.Text = EN</v>
      </c>
      <c r="D28" s="2" t="str">
        <f t="shared" si="1"/>
        <v xml:space="preserve">eNToolStripMenuItem_Text </v>
      </c>
      <c r="E28" t="str">
        <f t="shared" si="2"/>
        <v>EN</v>
      </c>
    </row>
    <row r="29" spans="2:5" x14ac:dyDescent="0.25">
      <c r="B29" t="s">
        <v>27</v>
      </c>
      <c r="C29" t="str">
        <f t="shared" si="0"/>
        <v>pLToolStripMenuItem.Text = PL</v>
      </c>
      <c r="D29" s="2" t="str">
        <f t="shared" si="1"/>
        <v xml:space="preserve">pLToolStripMenuItem_Text </v>
      </c>
      <c r="E29" t="str">
        <f t="shared" si="2"/>
        <v>PL</v>
      </c>
    </row>
    <row r="30" spans="2:5" x14ac:dyDescent="0.25">
      <c r="B30" t="s">
        <v>28</v>
      </c>
      <c r="C30" t="str">
        <f t="shared" si="0"/>
        <v>Text = Asseco Tools</v>
      </c>
      <c r="D30" s="2" t="e">
        <f t="shared" si="1"/>
        <v>#VALUE!</v>
      </c>
      <c r="E30" t="str">
        <f t="shared" si="2"/>
        <v>Asseco Tools</v>
      </c>
    </row>
    <row r="31" spans="2:5" x14ac:dyDescent="0.25">
      <c r="C31" t="e">
        <f t="shared" si="0"/>
        <v>#VALUE!</v>
      </c>
      <c r="D31" s="2" t="e">
        <f t="shared" si="1"/>
        <v>#VALUE!</v>
      </c>
      <c r="E31" t="e">
        <f t="shared" si="2"/>
        <v>#VALUE!</v>
      </c>
    </row>
    <row r="32" spans="2:5" x14ac:dyDescent="0.25">
      <c r="C32" t="e">
        <f t="shared" si="0"/>
        <v>#VALUE!</v>
      </c>
      <c r="D32" s="2" t="e">
        <f t="shared" si="1"/>
        <v>#VALUE!</v>
      </c>
      <c r="E32" t="e">
        <f t="shared" si="2"/>
        <v>#VALUE!</v>
      </c>
    </row>
    <row r="33" spans="1:6" x14ac:dyDescent="0.25">
      <c r="C33" t="e">
        <f t="shared" si="0"/>
        <v>#VALUE!</v>
      </c>
      <c r="D33" s="2" t="e">
        <f t="shared" si="1"/>
        <v>#VALUE!</v>
      </c>
      <c r="E33" t="e">
        <f t="shared" si="2"/>
        <v>#VALUE!</v>
      </c>
    </row>
    <row r="34" spans="1:6" x14ac:dyDescent="0.25">
      <c r="C34" t="e">
        <f t="shared" si="0"/>
        <v>#VALUE!</v>
      </c>
      <c r="D34" s="2" t="e">
        <f t="shared" si="1"/>
        <v>#VALUE!</v>
      </c>
      <c r="E34" t="e">
        <f t="shared" si="2"/>
        <v>#VALUE!</v>
      </c>
    </row>
    <row r="35" spans="1:6" x14ac:dyDescent="0.25">
      <c r="A35" t="s">
        <v>124</v>
      </c>
      <c r="B35" t="s">
        <v>45</v>
      </c>
      <c r="C35" t="str">
        <f t="shared" si="0"/>
        <v>checkStatisticsToolStripMenuItem.Text=CheckStatistics</v>
      </c>
      <c r="D35" s="2" t="str">
        <f>CONCATENATE(A35,REPLACE(MID(C35,1,FIND("=",C35,1)-1),FIND(".",C35,1),1,"_"))</f>
        <v>FormSchemaStats_checkStatisticsToolStripMenuItem_Text</v>
      </c>
      <c r="E35" t="str">
        <f t="shared" si="2"/>
        <v>CheckStatistics</v>
      </c>
      <c r="F35" t="str">
        <f>CONCATENATE(A35,B35)</f>
        <v>FormSchemaStats_this.checkStatisticsToolStripMenuItem.Text=CheckStatistics</v>
      </c>
    </row>
    <row r="36" spans="1:6" x14ac:dyDescent="0.25">
      <c r="A36" t="s">
        <v>124</v>
      </c>
      <c r="B36" t="s">
        <v>46</v>
      </c>
      <c r="C36" t="str">
        <f t="shared" si="0"/>
        <v>gatherStatisticsToolStripMenuItem.Text=GatherStatistics</v>
      </c>
      <c r="D36" s="2" t="str">
        <f t="shared" ref="D36:D64" si="3">CONCATENATE(A36,REPLACE(MID(C36,1,FIND("=",C36,1)-1),FIND(".",C36,1),1,"_"))</f>
        <v>FormSchemaStats_gatherStatisticsToolStripMenuItem_Text</v>
      </c>
      <c r="E36" t="str">
        <f t="shared" si="2"/>
        <v>GatherStatistics</v>
      </c>
    </row>
    <row r="37" spans="1:6" x14ac:dyDescent="0.25">
      <c r="A37" t="s">
        <v>124</v>
      </c>
      <c r="B37" t="s">
        <v>47</v>
      </c>
      <c r="C37" t="str">
        <f t="shared" si="0"/>
        <v>unlockSchemaToolStripMenuItem.Text=UnlockSchema</v>
      </c>
      <c r="D37" s="2" t="str">
        <f t="shared" si="3"/>
        <v>FormSchemaStats_unlockSchemaToolStripMenuItem_Text</v>
      </c>
      <c r="E37" t="str">
        <f t="shared" si="2"/>
        <v>UnlockSchema</v>
      </c>
    </row>
    <row r="38" spans="1:6" x14ac:dyDescent="0.25">
      <c r="A38" t="s">
        <v>124</v>
      </c>
      <c r="B38" t="s">
        <v>48</v>
      </c>
      <c r="C38" t="str">
        <f t="shared" si="0"/>
        <v>lockSchemaToolStripMenuItem.Text=LockSchema</v>
      </c>
      <c r="D38" s="2" t="str">
        <f t="shared" si="3"/>
        <v>FormSchemaStats_lockSchemaToolStripMenuItem_Text</v>
      </c>
      <c r="E38" t="str">
        <f t="shared" si="2"/>
        <v>LockSchema</v>
      </c>
    </row>
    <row r="39" spans="1:6" x14ac:dyDescent="0.25">
      <c r="A39" t="s">
        <v>124</v>
      </c>
      <c r="B39" t="s">
        <v>49</v>
      </c>
      <c r="C39" t="str">
        <f t="shared" si="0"/>
        <v>refreshToolStripMenuItem.Text=Refresh</v>
      </c>
      <c r="D39" s="2" t="str">
        <f t="shared" si="3"/>
        <v>FormSchemaStats_refreshToolStripMenuItem_Text</v>
      </c>
      <c r="E39" t="str">
        <f t="shared" si="2"/>
        <v>Refresh</v>
      </c>
    </row>
    <row r="40" spans="1:6" x14ac:dyDescent="0.25">
      <c r="A40" t="s">
        <v>124</v>
      </c>
      <c r="B40" t="s">
        <v>50</v>
      </c>
      <c r="C40" t="str">
        <f t="shared" si="0"/>
        <v>tablesToolStripMenuItem.Text=Tables</v>
      </c>
      <c r="D40" s="2" t="str">
        <f t="shared" si="3"/>
        <v>FormSchemaStats_tablesToolStripMenuItem_Text</v>
      </c>
      <c r="E40" t="str">
        <f t="shared" si="2"/>
        <v>Tables</v>
      </c>
    </row>
    <row r="41" spans="1:6" x14ac:dyDescent="0.25">
      <c r="A41" t="s">
        <v>124</v>
      </c>
      <c r="B41" t="s">
        <v>51</v>
      </c>
      <c r="C41" t="str">
        <f t="shared" si="0"/>
        <v>showStatTablesToolStripMenuItem.Text=ShowTableStats</v>
      </c>
      <c r="D41" s="2" t="str">
        <f t="shared" si="3"/>
        <v>FormSchemaStats_showStatTablesToolStripMenuItem_Text</v>
      </c>
      <c r="E41" t="str">
        <f t="shared" si="2"/>
        <v>ShowTableStats</v>
      </c>
    </row>
    <row r="42" spans="1:6" x14ac:dyDescent="0.25">
      <c r="A42" t="s">
        <v>124</v>
      </c>
      <c r="B42" t="s">
        <v>52</v>
      </c>
      <c r="C42" t="str">
        <f t="shared" si="0"/>
        <v>toolStrip1.Text=toolStrip1</v>
      </c>
      <c r="D42" s="2" t="str">
        <f t="shared" si="3"/>
        <v>FormSchemaStats_toolStrip1_Text</v>
      </c>
      <c r="E42" t="str">
        <f t="shared" si="2"/>
        <v>toolStrip1</v>
      </c>
    </row>
    <row r="43" spans="1:6" x14ac:dyDescent="0.25">
      <c r="A43" t="s">
        <v>124</v>
      </c>
      <c r="B43" t="s">
        <v>53</v>
      </c>
      <c r="C43" t="str">
        <f t="shared" si="0"/>
        <v>tbtnStop.Text=Stop</v>
      </c>
      <c r="D43" s="2" t="str">
        <f t="shared" si="3"/>
        <v>FormSchemaStats_tbtnStop_Text</v>
      </c>
      <c r="E43" t="str">
        <f t="shared" si="2"/>
        <v>Stop</v>
      </c>
    </row>
    <row r="44" spans="1:6" x14ac:dyDescent="0.25">
      <c r="A44" t="s">
        <v>124</v>
      </c>
      <c r="B44" t="s">
        <v>54</v>
      </c>
      <c r="C44" t="str">
        <f t="shared" si="0"/>
        <v>toolStripDropDownButton1.Text=Logs</v>
      </c>
      <c r="D44" s="2" t="str">
        <f t="shared" si="3"/>
        <v>FormSchemaStats_toolStripDropDownButton1_Text</v>
      </c>
      <c r="E44" t="str">
        <f t="shared" si="2"/>
        <v>Logs</v>
      </c>
    </row>
    <row r="45" spans="1:6" x14ac:dyDescent="0.25">
      <c r="A45" t="s">
        <v>124</v>
      </c>
      <c r="B45" t="s">
        <v>55</v>
      </c>
      <c r="C45" t="str">
        <f t="shared" si="0"/>
        <v>logToolStripMenuItem.Text=RunLog</v>
      </c>
      <c r="D45" s="2" t="str">
        <f t="shared" si="3"/>
        <v>FormSchemaStats_logToolStripMenuItem_Text</v>
      </c>
      <c r="E45" t="str">
        <f t="shared" si="2"/>
        <v>RunLog</v>
      </c>
    </row>
    <row r="46" spans="1:6" x14ac:dyDescent="0.25">
      <c r="A46" t="s">
        <v>124</v>
      </c>
      <c r="B46" t="s">
        <v>56</v>
      </c>
      <c r="C46" t="str">
        <f t="shared" si="0"/>
        <v>errorToolStripMenuItem.Text=DetailErrorLog</v>
      </c>
      <c r="D46" s="2" t="str">
        <f t="shared" si="3"/>
        <v>FormSchemaStats_errorToolStripMenuItem_Text</v>
      </c>
      <c r="E46" t="str">
        <f t="shared" si="2"/>
        <v>DetailErrorLog</v>
      </c>
    </row>
    <row r="47" spans="1:6" x14ac:dyDescent="0.25">
      <c r="A47" t="s">
        <v>124</v>
      </c>
      <c r="B47" t="s">
        <v>57</v>
      </c>
      <c r="C47" t="str">
        <f t="shared" si="0"/>
        <v>groupBox1.Text=SelectSchemas</v>
      </c>
      <c r="D47" s="2" t="str">
        <f t="shared" si="3"/>
        <v>FormSchemaStats_groupBox1_Text</v>
      </c>
      <c r="E47" t="str">
        <f t="shared" si="2"/>
        <v>SelectSchemas</v>
      </c>
    </row>
    <row r="48" spans="1:6" x14ac:dyDescent="0.25">
      <c r="A48" t="s">
        <v>124</v>
      </c>
      <c r="B48" t="s">
        <v>58</v>
      </c>
      <c r="C48" t="str">
        <f t="shared" si="0"/>
        <v>tabPage1.Text=Schemas</v>
      </c>
      <c r="D48" s="2" t="str">
        <f t="shared" si="3"/>
        <v>FormSchemaStats_tabPage1_Text</v>
      </c>
      <c r="E48" t="str">
        <f t="shared" si="2"/>
        <v>Schemas</v>
      </c>
    </row>
    <row r="49" spans="1:5" x14ac:dyDescent="0.25">
      <c r="A49" t="s">
        <v>124</v>
      </c>
      <c r="B49" t="s">
        <v>29</v>
      </c>
      <c r="C49" t="str">
        <f t="shared" si="0"/>
        <v>tabPage2.Text=StatisticsOptions</v>
      </c>
      <c r="D49" s="2" t="str">
        <f t="shared" si="3"/>
        <v>FormSchemaStats_tabPage2_Text</v>
      </c>
      <c r="E49" t="str">
        <f t="shared" si="2"/>
        <v>StatisticsOptions</v>
      </c>
    </row>
    <row r="50" spans="1:5" x14ac:dyDescent="0.25">
      <c r="A50" t="s">
        <v>124</v>
      </c>
      <c r="B50" t="s">
        <v>30</v>
      </c>
      <c r="C50" t="str">
        <f t="shared" si="0"/>
        <v>label6.Text=Modiff</v>
      </c>
      <c r="D50" s="2" t="str">
        <f t="shared" si="3"/>
        <v>FormSchemaStats_label6_Text</v>
      </c>
      <c r="E50" t="str">
        <f t="shared" si="2"/>
        <v>Modiff</v>
      </c>
    </row>
    <row r="51" spans="1:5" x14ac:dyDescent="0.25">
      <c r="A51" t="s">
        <v>124</v>
      </c>
      <c r="B51" t="s">
        <v>31</v>
      </c>
      <c r="C51" t="str">
        <f t="shared" si="0"/>
        <v>label5.Text=EstimatePercent</v>
      </c>
      <c r="D51" s="2" t="str">
        <f t="shared" si="3"/>
        <v>FormSchemaStats_label5_Text</v>
      </c>
      <c r="E51" t="str">
        <f t="shared" si="2"/>
        <v>EstimatePercent</v>
      </c>
    </row>
    <row r="52" spans="1:5" x14ac:dyDescent="0.25">
      <c r="A52" t="s">
        <v>124</v>
      </c>
      <c r="B52" t="s">
        <v>32</v>
      </c>
      <c r="C52" t="str">
        <f t="shared" si="0"/>
        <v>label4.Text=Parallel</v>
      </c>
      <c r="D52" s="2" t="str">
        <f t="shared" si="3"/>
        <v>FormSchemaStats_label4_Text</v>
      </c>
      <c r="E52" t="str">
        <f t="shared" si="2"/>
        <v>Parallel</v>
      </c>
    </row>
    <row r="53" spans="1:5" x14ac:dyDescent="0.25">
      <c r="A53" t="s">
        <v>124</v>
      </c>
      <c r="B53" t="s">
        <v>33</v>
      </c>
      <c r="C53" t="str">
        <f t="shared" si="0"/>
        <v>groupBox2.Text=Progres</v>
      </c>
      <c r="D53" s="2" t="str">
        <f t="shared" si="3"/>
        <v>FormSchemaStats_groupBox2_Text</v>
      </c>
      <c r="E53" t="str">
        <f t="shared" si="2"/>
        <v>Progres</v>
      </c>
    </row>
    <row r="54" spans="1:5" x14ac:dyDescent="0.25">
      <c r="A54" t="s">
        <v>124</v>
      </c>
      <c r="B54" t="s">
        <v>34</v>
      </c>
      <c r="C54" t="str">
        <f t="shared" si="0"/>
        <v>toolStripButton3.Text=GatherStats</v>
      </c>
      <c r="D54" s="2" t="str">
        <f t="shared" si="3"/>
        <v>FormSchemaStats_toolStripButton3_Text</v>
      </c>
      <c r="E54" t="str">
        <f t="shared" si="2"/>
        <v>GatherStats</v>
      </c>
    </row>
    <row r="55" spans="1:5" x14ac:dyDescent="0.25">
      <c r="A55" t="s">
        <v>124</v>
      </c>
      <c r="B55" t="s">
        <v>35</v>
      </c>
      <c r="C55" t="str">
        <f t="shared" si="0"/>
        <v>toolStripButton1.Text=ALL</v>
      </c>
      <c r="D55" s="2" t="str">
        <f t="shared" si="3"/>
        <v>FormSchemaStats_toolStripButton1_Text</v>
      </c>
      <c r="E55" t="str">
        <f t="shared" si="2"/>
        <v>ALL</v>
      </c>
    </row>
    <row r="56" spans="1:5" x14ac:dyDescent="0.25">
      <c r="A56" t="s">
        <v>124</v>
      </c>
      <c r="B56" t="s">
        <v>36</v>
      </c>
      <c r="C56" t="str">
        <f t="shared" si="0"/>
        <v>toolStripButton2.Text=PRC</v>
      </c>
      <c r="D56" s="2" t="str">
        <f t="shared" si="3"/>
        <v>FormSchemaStats_toolStripButton2_Text</v>
      </c>
      <c r="E56" t="str">
        <f t="shared" si="2"/>
        <v>PRC</v>
      </c>
    </row>
    <row r="57" spans="1:5" x14ac:dyDescent="0.25">
      <c r="A57" t="s">
        <v>124</v>
      </c>
      <c r="B57" t="s">
        <v>37</v>
      </c>
      <c r="C57" t="str">
        <f t="shared" si="0"/>
        <v>toolStripButton7.Text=COLS</v>
      </c>
      <c r="D57" s="2" t="str">
        <f t="shared" si="3"/>
        <v>FormSchemaStats_toolStripButton7_Text</v>
      </c>
      <c r="E57" t="str">
        <f t="shared" si="2"/>
        <v>COLS</v>
      </c>
    </row>
    <row r="58" spans="1:5" x14ac:dyDescent="0.25">
      <c r="A58" t="s">
        <v>124</v>
      </c>
      <c r="B58" t="s">
        <v>38</v>
      </c>
      <c r="C58" t="str">
        <f t="shared" si="0"/>
        <v>toolStripButton5.Text=MOD</v>
      </c>
      <c r="D58" s="2" t="str">
        <f t="shared" si="3"/>
        <v>FormSchemaStats_toolStripButton5_Text</v>
      </c>
      <c r="E58" t="str">
        <f t="shared" si="2"/>
        <v>MOD</v>
      </c>
    </row>
    <row r="59" spans="1:5" x14ac:dyDescent="0.25">
      <c r="A59" t="s">
        <v>124</v>
      </c>
      <c r="B59" t="s">
        <v>39</v>
      </c>
      <c r="C59" t="str">
        <f t="shared" si="0"/>
        <v>toolStripButton6.Text=MISS</v>
      </c>
      <c r="D59" s="2" t="str">
        <f t="shared" si="3"/>
        <v>FormSchemaStats_toolStripButton6_Text</v>
      </c>
      <c r="E59" t="str">
        <f t="shared" si="2"/>
        <v>MISS</v>
      </c>
    </row>
    <row r="60" spans="1:5" x14ac:dyDescent="0.25">
      <c r="A60" t="s">
        <v>124</v>
      </c>
      <c r="B60" t="s">
        <v>40</v>
      </c>
      <c r="C60" t="str">
        <f t="shared" ref="C60:C64" si="4">REPLACE(B60,FIND("this.",B60,1),5,"")</f>
        <v>toolStripButton4.Text=COUNT</v>
      </c>
      <c r="D60" s="2" t="str">
        <f t="shared" si="3"/>
        <v>FormSchemaStats_toolStripButton4_Text</v>
      </c>
      <c r="E60" t="str">
        <f t="shared" ref="E60:E64" si="5">TRIM(MID(TRIM(B60),FIND("=",TRIM(B60),1)+1,LEN(TRIM(B60))))</f>
        <v>COUNT</v>
      </c>
    </row>
    <row r="61" spans="1:5" x14ac:dyDescent="0.25">
      <c r="A61" t="s">
        <v>124</v>
      </c>
      <c r="B61" t="s">
        <v>41</v>
      </c>
      <c r="C61" t="str">
        <f t="shared" si="4"/>
        <v>label3.Text=Errors/Warnings</v>
      </c>
      <c r="D61" s="2" t="str">
        <f t="shared" si="3"/>
        <v>FormSchemaStats_label3_Text</v>
      </c>
      <c r="E61" t="str">
        <f t="shared" si="5"/>
        <v>Errors/Warnings</v>
      </c>
    </row>
    <row r="62" spans="1:5" x14ac:dyDescent="0.25">
      <c r="A62" t="s">
        <v>124</v>
      </c>
      <c r="B62" t="s">
        <v>42</v>
      </c>
      <c r="C62" t="str">
        <f t="shared" si="4"/>
        <v>labelObject.Text=</v>
      </c>
      <c r="D62" s="2" t="str">
        <f t="shared" si="3"/>
        <v>FormSchemaStats_labelObject_Text</v>
      </c>
      <c r="E62" t="str">
        <f t="shared" si="5"/>
        <v/>
      </c>
    </row>
    <row r="63" spans="1:5" x14ac:dyDescent="0.25">
      <c r="A63" t="s">
        <v>124</v>
      </c>
      <c r="B63" t="s">
        <v>43</v>
      </c>
      <c r="C63" t="str">
        <f t="shared" si="4"/>
        <v>label1.Text=Object</v>
      </c>
      <c r="D63" s="2" t="str">
        <f t="shared" si="3"/>
        <v>FormSchemaStats_label1_Text</v>
      </c>
      <c r="E63" t="str">
        <f t="shared" si="5"/>
        <v>Object</v>
      </c>
    </row>
    <row r="64" spans="1:5" x14ac:dyDescent="0.25">
      <c r="A64" t="s">
        <v>124</v>
      </c>
      <c r="B64" t="s">
        <v>44</v>
      </c>
      <c r="C64" t="str">
        <f t="shared" si="4"/>
        <v>Text=SchemaStatistics</v>
      </c>
      <c r="D64" s="2" t="e">
        <f t="shared" si="3"/>
        <v>#VALUE!</v>
      </c>
      <c r="E64" t="str">
        <f t="shared" si="5"/>
        <v>SchemaStatistics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3"/>
  <sheetViews>
    <sheetView workbookViewId="0">
      <selection activeCell="A2" sqref="A2:B33"/>
    </sheetView>
  </sheetViews>
  <sheetFormatPr defaultRowHeight="15" x14ac:dyDescent="0.25"/>
  <cols>
    <col min="1" max="1" width="33.42578125" bestFit="1" customWidth="1"/>
    <col min="2" max="2" width="35.42578125" bestFit="1" customWidth="1"/>
    <col min="3" max="3" width="13.85546875" bestFit="1" customWidth="1"/>
  </cols>
  <sheetData>
    <row r="2" spans="1:3" x14ac:dyDescent="0.25">
      <c r="A2" t="s">
        <v>92</v>
      </c>
      <c r="B2" t="s">
        <v>59</v>
      </c>
      <c r="C2" t="s">
        <v>60</v>
      </c>
    </row>
    <row r="3" spans="1:3" x14ac:dyDescent="0.25">
      <c r="A3" t="s">
        <v>93</v>
      </c>
      <c r="B3" t="s">
        <v>61</v>
      </c>
    </row>
    <row r="4" spans="1:3" x14ac:dyDescent="0.25">
      <c r="A4" t="s">
        <v>94</v>
      </c>
      <c r="B4" t="s">
        <v>62</v>
      </c>
    </row>
    <row r="5" spans="1:3" x14ac:dyDescent="0.25">
      <c r="A5" t="s">
        <v>95</v>
      </c>
      <c r="B5" t="s">
        <v>63</v>
      </c>
    </row>
    <row r="6" spans="1:3" x14ac:dyDescent="0.25">
      <c r="A6" t="s">
        <v>96</v>
      </c>
      <c r="B6" t="s">
        <v>64</v>
      </c>
    </row>
    <row r="7" spans="1:3" x14ac:dyDescent="0.25">
      <c r="A7" t="s">
        <v>97</v>
      </c>
      <c r="B7" t="s">
        <v>65</v>
      </c>
    </row>
    <row r="8" spans="1:3" x14ac:dyDescent="0.25">
      <c r="A8" t="s">
        <v>98</v>
      </c>
      <c r="B8" t="s">
        <v>66</v>
      </c>
    </row>
    <row r="9" spans="1:3" x14ac:dyDescent="0.25">
      <c r="A9" t="s">
        <v>99</v>
      </c>
      <c r="B9" t="s">
        <v>67</v>
      </c>
    </row>
    <row r="10" spans="1:3" x14ac:dyDescent="0.25">
      <c r="A10" t="s">
        <v>100</v>
      </c>
      <c r="B10" t="s">
        <v>68</v>
      </c>
    </row>
    <row r="11" spans="1:3" x14ac:dyDescent="0.25">
      <c r="A11" t="s">
        <v>101</v>
      </c>
      <c r="B11" t="s">
        <v>69</v>
      </c>
    </row>
    <row r="12" spans="1:3" x14ac:dyDescent="0.25">
      <c r="A12" t="s">
        <v>102</v>
      </c>
      <c r="B12" t="s">
        <v>70</v>
      </c>
    </row>
    <row r="13" spans="1:3" x14ac:dyDescent="0.25">
      <c r="A13" t="s">
        <v>103</v>
      </c>
      <c r="B13" t="s">
        <v>71</v>
      </c>
    </row>
    <row r="14" spans="1:3" x14ac:dyDescent="0.25">
      <c r="A14" t="s">
        <v>104</v>
      </c>
      <c r="B14" t="s">
        <v>72</v>
      </c>
    </row>
    <row r="15" spans="1:3" x14ac:dyDescent="0.25">
      <c r="A15" t="s">
        <v>105</v>
      </c>
      <c r="B15" t="s">
        <v>73</v>
      </c>
    </row>
    <row r="16" spans="1:3" x14ac:dyDescent="0.25">
      <c r="A16" t="s">
        <v>106</v>
      </c>
      <c r="B16" t="s">
        <v>74</v>
      </c>
    </row>
    <row r="17" spans="1:2" x14ac:dyDescent="0.25">
      <c r="A17" t="s">
        <v>107</v>
      </c>
      <c r="B17" t="s">
        <v>75</v>
      </c>
    </row>
    <row r="18" spans="1:2" x14ac:dyDescent="0.25">
      <c r="A18" t="s">
        <v>108</v>
      </c>
      <c r="B18" t="s">
        <v>76</v>
      </c>
    </row>
    <row r="19" spans="1:2" x14ac:dyDescent="0.25">
      <c r="A19" t="s">
        <v>109</v>
      </c>
      <c r="B19" t="s">
        <v>77</v>
      </c>
    </row>
    <row r="20" spans="1:2" x14ac:dyDescent="0.25">
      <c r="A20" t="s">
        <v>110</v>
      </c>
      <c r="B20" t="s">
        <v>78</v>
      </c>
    </row>
    <row r="21" spans="1:2" x14ac:dyDescent="0.25">
      <c r="A21" t="s">
        <v>111</v>
      </c>
      <c r="B21" t="s">
        <v>79</v>
      </c>
    </row>
    <row r="22" spans="1:2" x14ac:dyDescent="0.25">
      <c r="A22" t="s">
        <v>112</v>
      </c>
      <c r="B22" t="s">
        <v>80</v>
      </c>
    </row>
    <row r="23" spans="1:2" x14ac:dyDescent="0.25">
      <c r="A23" t="s">
        <v>113</v>
      </c>
      <c r="B23" t="s">
        <v>81</v>
      </c>
    </row>
    <row r="24" spans="1:2" x14ac:dyDescent="0.25">
      <c r="A24" t="s">
        <v>114</v>
      </c>
      <c r="B24" t="s">
        <v>83</v>
      </c>
    </row>
    <row r="25" spans="1:2" x14ac:dyDescent="0.25">
      <c r="A25" t="s">
        <v>115</v>
      </c>
      <c r="B25" t="s">
        <v>74</v>
      </c>
    </row>
    <row r="26" spans="1:2" x14ac:dyDescent="0.25">
      <c r="A26" t="s">
        <v>116</v>
      </c>
      <c r="B26" t="s">
        <v>84</v>
      </c>
    </row>
    <row r="27" spans="1:2" x14ac:dyDescent="0.25">
      <c r="A27" t="s">
        <v>117</v>
      </c>
      <c r="B27" t="s">
        <v>85</v>
      </c>
    </row>
    <row r="28" spans="1:2" x14ac:dyDescent="0.25">
      <c r="A28" t="s">
        <v>118</v>
      </c>
      <c r="B28" t="s">
        <v>86</v>
      </c>
    </row>
    <row r="29" spans="1:2" x14ac:dyDescent="0.25">
      <c r="A29" t="s">
        <v>119</v>
      </c>
      <c r="B29" t="s">
        <v>87</v>
      </c>
    </row>
    <row r="30" spans="1:2" x14ac:dyDescent="0.25">
      <c r="A30" t="s">
        <v>120</v>
      </c>
      <c r="B30" t="s">
        <v>88</v>
      </c>
    </row>
    <row r="31" spans="1:2" x14ac:dyDescent="0.25">
      <c r="A31" t="s">
        <v>121</v>
      </c>
      <c r="B31" t="s">
        <v>89</v>
      </c>
    </row>
    <row r="32" spans="1:2" x14ac:dyDescent="0.25">
      <c r="A32" t="s">
        <v>122</v>
      </c>
      <c r="B32" t="s">
        <v>90</v>
      </c>
    </row>
    <row r="33" spans="1:2" x14ac:dyDescent="0.25">
      <c r="A33" t="s">
        <v>123</v>
      </c>
      <c r="B33" t="s">
        <v>91</v>
      </c>
    </row>
  </sheetData>
  <sortState ref="A2:B33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Bałon Artur</dc:creator>
  <cp:lastModifiedBy>Bałon Artur</cp:lastModifiedBy>
  <dcterms:created xsi:type="dcterms:W3CDTF">2018-03-21T14:01:15Z</dcterms:created>
  <dcterms:modified xsi:type="dcterms:W3CDTF">2018-03-23T15:06:05Z</dcterms:modified>
</cp:coreProperties>
</file>